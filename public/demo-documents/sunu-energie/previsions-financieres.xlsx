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e83f58f3e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visions" sheetId="1" r:id="Rb2de3f89ee14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 FCFA&quot;"/>
    <x:numFmt numFmtId="201" formatCode="0.0%"/>
  </x:numFmts>
  <x:fonts count="6">
    <x:font>
      <x:sz val="11"/>
      <x:name val="Carlito"/>
    </x:font>
    <x:font>
      <x:sz val="10"/>
      <x:color rgb="FF201A20"/>
      <x:name val="Arial"/>
    </x:font>
    <x:font>
      <x:b/>
      <x:sz val="15"/>
      <x:color rgb="FF000000"/>
      <x:name val="Arial"/>
    </x:font>
    <x:font>
      <x:i/>
      <x:sz val="9"/>
      <x:color rgb="FF5F5A5E"/>
      <x:name val="Arial"/>
    </x:font>
    <x:font>
      <x:b/>
      <x:sz val="10"/>
      <x:color rgb="FFFFFFFF"/>
      <x:name val="Arial"/>
    </x:font>
    <x:font>
      <x:b/>
      <x:sz val="10"/>
      <x:color rgb="FF201A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4124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5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/>
    </x:xf>
    <x:xf numFmtId="201" fontId="1" fillId="0" borderId="1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9934412204105" /><Relationship Type="http://schemas.openxmlformats.org/officeDocument/2006/relationships/theme" Target="/xl/theme/theme1.xml" Id="R248ec0b3fd204c78" /><Relationship Type="http://schemas.openxmlformats.org/officeDocument/2006/relationships/sharedStrings" Target="/xl/sharedStrings.xml" Id="Re976194738a844f5" /><Relationship Type="http://schemas.openxmlformats.org/officeDocument/2006/relationships/worksheet" Target="/xl/worksheets/sheet1.xml" Id="Rb2de3f89ee144c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</x:cols>
  <x:sheetData>
    <x:row r="2" ht="28" customHeight="1">
      <x:c r="B2" s="3" t="str">
        <x:v>Prévisions financières Sunu Énergie Décentralisée SA</x:v>
      </x:c>
      <x:c r="C2" s="3"/>
      <x:c r="D2" s="3"/>
      <x:c r="E2" s="3"/>
      <x:c r="F2" s="3"/>
    </x:row>
    <x:row r="3" ht="28" customHeight="1">
      <x:c r="B3" s="6" t="str">
        <x:v>Données fictives de démonstration. Ces chiffres ne constituent ni une offre, ni une promesse de rendement.</x:v>
      </x:c>
      <x:c r="C3" s="6"/>
      <x:c r="D3" s="6"/>
      <x:c r="E3" s="6"/>
      <x:c r="F3" s="6"/>
    </x:row>
    <x:row r="4">
      <x:c r="B4" s="21"/>
      <x:c r="C4" s="21"/>
      <x:c r="D4" s="21"/>
      <x:c r="E4" s="21"/>
      <x:c r="F4" s="21"/>
    </x:row>
    <x:row r="5" ht="24" customHeight="1">
      <x:c r="B5" s="11" t="str">
        <x:v>Repère</x:v>
      </x:c>
      <x:c r="C5" s="11" t="str">
        <x:v>Valeur</x:v>
      </x:c>
      <x:c r="D5" s="21"/>
      <x:c r="E5" s="21"/>
      <x:c r="F5" s="21"/>
    </x:row>
    <x:row r="6" ht="48" hidden="0" customHeight="1">
      <x:c r="B6" s="26" t="str">
        <x:v>Projet</x:v>
      </x:c>
      <x:c r="C6" s="27" t="str">
        <x:v>Mini-réseaux solaires pour commerces de proximité</x:v>
      </x:c>
      <x:c r="D6" s="21"/>
      <x:c r="E6" s="21"/>
      <x:c r="F6" s="21"/>
    </x:row>
    <x:row r="7" ht="15" hidden="0" customHeight="1">
      <x:c r="B7" s="26" t="str">
        <x:v>Montant recherché</x:v>
      </x:c>
      <x:c r="C7" s="28" t="n">
        <x:v>180000000</x:v>
      </x:c>
      <x:c r="D7" s="21"/>
      <x:c r="E7" s="21"/>
      <x:c r="F7" s="21"/>
    </x:row>
    <x:row r="8" ht="15" hidden="0" customHeight="1">
      <x:c r="B8" s="26" t="str">
        <x:v>Participation minimale</x:v>
      </x:c>
      <x:c r="C8" s="28" t="n">
        <x:v>250000</x:v>
      </x:c>
      <x:c r="D8" s="21"/>
      <x:c r="E8" s="21"/>
      <x:c r="F8" s="21"/>
    </x:row>
    <x:row r="9" ht="15" hidden="0" customHeight="1">
      <x:c r="B9" s="26" t="str">
        <x:v>Monnaie</x:v>
      </x:c>
      <x:c r="C9" s="27" t="str">
        <x:v>FCFA</x:v>
      </x:c>
      <x:c r="D9" s="21"/>
      <x:c r="E9" s="21"/>
      <x:c r="F9" s="21"/>
    </x:row>
    <x:row r="10">
      <x:c r="B10" s="21"/>
      <x:c r="C10" s="21"/>
      <x:c r="D10" s="21"/>
      <x:c r="E10" s="21"/>
      <x:c r="F10" s="21"/>
    </x:row>
    <x:row r="11">
      <x:c r="B11" s="21"/>
      <x:c r="C11" s="21"/>
      <x:c r="D11" s="21"/>
      <x:c r="E11" s="21"/>
      <x:c r="F11" s="21"/>
    </x:row>
    <x:row r="12" ht="24" customHeight="1">
      <x:c r="B12" s="11" t="str">
        <x:v>Indicateur</x:v>
      </x:c>
      <x:c r="C12" s="11" t="n">
        <x:v>2026</x:v>
      </x:c>
      <x:c r="D12" s="11" t="n">
        <x:v>2027</x:v>
      </x:c>
      <x:c r="E12" s="11" t="n">
        <x:v>2028</x:v>
      </x:c>
      <x:c r="F12" s="11" t="str">
        <x:v>Unite</x:v>
      </x:c>
    </x:row>
    <x:row r="13" ht="15" hidden="0" customHeight="1">
      <x:c r="B13" s="26" t="str">
        <x:v>Chiffre d'affaires</x:v>
      </x:c>
      <x:c r="C13" s="23" t="n">
        <x:v>240000000</x:v>
      </x:c>
      <x:c r="D13" s="23" t="n">
        <x:v>315000000</x:v>
      </x:c>
      <x:c r="E13" s="23" t="n">
        <x:v>390000000</x:v>
      </x:c>
      <x:c r="F13" s="24" t="str">
        <x:v>FCFA</x:v>
      </x:c>
    </x:row>
    <x:row r="14" ht="15" hidden="0" customHeight="1">
      <x:c r="B14" s="26" t="str">
        <x:v>Charges d'exploitation</x:v>
      </x:c>
      <x:c r="C14" s="23" t="n">
        <x:v>168000000</x:v>
      </x:c>
      <x:c r="D14" s="23" t="n">
        <x:v>211000000</x:v>
      </x:c>
      <x:c r="E14" s="23" t="n">
        <x:v>250000000</x:v>
      </x:c>
      <x:c r="F14" s="24" t="str">
        <x:v>FCFA</x:v>
      </x:c>
    </x:row>
    <x:row r="15" ht="15" hidden="0" customHeight="1">
      <x:c r="B15" s="26" t="str">
        <x:v>Résultat opérationnel indicatif</x:v>
      </x:c>
      <x:c r="C15" s="23" t="n">
        <x:f>C13-C14</x:f>
        <x:v>72000000</x:v>
      </x:c>
      <x:c r="D15" s="23" t="n">
        <x:f>D13-D14</x:f>
        <x:v>104000000</x:v>
      </x:c>
      <x:c r="E15" s="23" t="n">
        <x:f>E13-E14</x:f>
        <x:v>140000000</x:v>
      </x:c>
      <x:c r="F15" s="24" t="str">
        <x:v>FCFA</x:v>
      </x:c>
    </x:row>
    <x:row r="16" ht="15" hidden="0" customHeight="1">
      <x:c r="B16" s="26" t="str">
        <x:v>Marge opérationnelle indicative</x:v>
      </x:c>
      <x:c r="C16" s="25" t="n">
        <x:f>IF(C13=0,"n.a.",C15/C13)</x:f>
        <x:v>0.3</x:v>
      </x:c>
      <x:c r="D16" s="25" t="n">
        <x:f>IF(D13=0,"n.a.",D15/D13)</x:f>
        <x:v>0.33015873015873015</x:v>
      </x:c>
      <x:c r="E16" s="25" t="n">
        <x:f>IF(E13=0,"n.a.",E15/E13)</x:f>
        <x:v>0.358974358974359</x:v>
      </x:c>
      <x:c r="F16" s="24" t="str">
        <x:v>%</x:v>
      </x:c>
    </x:row>
  </x:sheetData>
  <x:mergeCells>
    <x:mergeCell ref="B2:F2"/>
    <x:mergeCell ref="B3:F3"/>
  </x:mergeCells>
  <x:pageMargins left="0.7" right="0.7" top="0.75" bottom="0.75" header="0.3" footer="0.3"/>
</x:worksheet>
</file>